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S" sheetId="1" state="visible" r:id="rId1"/>
    <sheet xmlns:r="http://schemas.openxmlformats.org/officeDocument/2006/relationships" name="STUDENT_REGIST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3" max="3"/>
  </cols>
  <sheetData>
    <row r="1">
      <c r="A1" s="1" t="inlineStr">
        <is>
          <t>Tên gói</t>
        </is>
      </c>
      <c r="B1" s="1" t="inlineStr">
        <is>
          <t>Số buổi</t>
        </is>
      </c>
      <c r="C1" s="1" t="inlineStr">
        <is>
          <t>Học phí (VND)</t>
        </is>
      </c>
      <c r="D1" s="1" t="inlineStr">
        <is>
          <t>Ghi chú</t>
        </is>
      </c>
    </row>
    <row r="2">
      <c r="A2" t="inlineStr">
        <is>
          <t>Gói 12 buổi</t>
        </is>
      </c>
      <c r="B2" t="n">
        <v>12</v>
      </c>
      <c r="C2" s="2" t="n">
        <v>1560000</v>
      </c>
      <c r="D2" t="inlineStr"/>
    </row>
    <row r="3">
      <c r="A3" t="inlineStr">
        <is>
          <t>Gói 24 buổi</t>
        </is>
      </c>
      <c r="B3" t="n">
        <v>24</v>
      </c>
      <c r="C3" s="2" t="n">
        <v>2880000</v>
      </c>
      <c r="D3" t="inlineStr">
        <is>
          <t>Tiết kiệm 7.5%</t>
        </is>
      </c>
    </row>
    <row r="4">
      <c r="A4" t="inlineStr">
        <is>
          <t>Gói 48 buổi</t>
        </is>
      </c>
      <c r="B4" t="n">
        <v>48</v>
      </c>
      <c r="C4" s="2" t="n">
        <v>5280000</v>
      </c>
      <c r="D4" t="inlineStr">
        <is>
          <t>Tiết kiệm 15%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Timestamp</t>
        </is>
      </c>
      <c r="B1" s="1" t="inlineStr">
        <is>
          <t>Email</t>
        </is>
      </c>
      <c r="C1" s="1" t="inlineStr">
        <is>
          <t>Họ và tên</t>
        </is>
      </c>
      <c r="D1" s="1" t="inlineStr">
        <is>
          <t>Gói đăng ký</t>
        </is>
      </c>
      <c r="E1" s="1" t="inlineStr">
        <is>
          <t>Trạng thái TT</t>
        </is>
      </c>
      <c r="F1" s="1" t="inlineStr">
        <is>
          <t>StudentID</t>
        </is>
      </c>
      <c r="G1" s="1" t="inlineStr">
        <is>
          <t>Số buổi</t>
        </is>
      </c>
      <c r="H1" s="1" t="inlineStr">
        <is>
          <t>Học phí</t>
        </is>
      </c>
      <c r="I1" s="1" t="inlineStr">
        <is>
          <t>Synced</t>
        </is>
      </c>
    </row>
    <row r="2">
      <c r="A2" s="3" t="n">
        <v>46218.41666666666</v>
      </c>
      <c r="B2" t="inlineStr">
        <is>
          <t>hoa@example.com</t>
        </is>
      </c>
      <c r="C2" t="inlineStr">
        <is>
          <t>Lê Thị Hoa</t>
        </is>
      </c>
      <c r="D2" t="inlineStr">
        <is>
          <t>Gói 12 buổi</t>
        </is>
      </c>
      <c r="E2" t="inlineStr">
        <is>
          <t>Đã thanh toán</t>
        </is>
      </c>
      <c r="F2" t="inlineStr">
        <is>
          <t>S001</t>
        </is>
      </c>
      <c r="G2">
        <f>VLOOKUP(D2,PACKAGES!A:B,2,FALSE)</f>
        <v/>
      </c>
      <c r="H2" s="2">
        <f>VLOOKUP(D2,PACKAGES!A:C,3,FALSE)</f>
        <v/>
      </c>
      <c r="I2" t="inlineStr">
        <is>
          <t>Yes</t>
        </is>
      </c>
    </row>
    <row r="3">
      <c r="A3" s="3" t="n">
        <v>46219.41666666666</v>
      </c>
      <c r="B3" t="inlineStr">
        <is>
          <t>dung@example.com</t>
        </is>
      </c>
      <c r="C3" t="inlineStr">
        <is>
          <t>Nguyễn Văn Dũng</t>
        </is>
      </c>
      <c r="D3" t="inlineStr">
        <is>
          <t>Gói 24 buổi</t>
        </is>
      </c>
      <c r="E3" t="inlineStr">
        <is>
          <t>Đã thanh toán</t>
        </is>
      </c>
      <c r="F3" t="inlineStr">
        <is>
          <t>S002</t>
        </is>
      </c>
      <c r="G3">
        <f>VLOOKUP(D3,PACKAGES!A:B,2,FALSE)</f>
        <v/>
      </c>
      <c r="H3" s="2">
        <f>VLOOKUP(D3,PACKAGES!A:C,3,FALSE)</f>
        <v/>
      </c>
      <c r="I3" t="inlineStr">
        <is>
          <t>Yes</t>
        </is>
      </c>
    </row>
    <row r="4">
      <c r="A4" s="3" t="n">
        <v>46220.41666666666</v>
      </c>
      <c r="B4" t="inlineStr">
        <is>
          <t>minhanh@example.com</t>
        </is>
      </c>
      <c r="C4" t="inlineStr">
        <is>
          <t>Trần Minh Anh</t>
        </is>
      </c>
      <c r="D4" t="inlineStr">
        <is>
          <t>Gói 12 buổi</t>
        </is>
      </c>
      <c r="E4" t="inlineStr">
        <is>
          <t>Đã thanh toán</t>
        </is>
      </c>
      <c r="F4" t="inlineStr">
        <is>
          <t>S003</t>
        </is>
      </c>
      <c r="G4">
        <f>VLOOKUP(D4,PACKAGES!A:B,2,FALSE)</f>
        <v/>
      </c>
      <c r="H4" s="2">
        <f>VLOOKUP(D4,PACKAGES!A:C,3,FALSE)</f>
        <v/>
      </c>
      <c r="I4" t="inlineStr">
        <is>
          <t>Yes</t>
        </is>
      </c>
    </row>
    <row r="5">
      <c r="A5" s="3" t="n">
        <v>46221.41666666666</v>
      </c>
      <c r="B5" t="inlineStr">
        <is>
          <t>bao@example.com</t>
        </is>
      </c>
      <c r="C5" t="inlineStr">
        <is>
          <t>Phạm Quốc Bảo</t>
        </is>
      </c>
      <c r="D5" t="inlineStr">
        <is>
          <t>Gói 48 buổi</t>
        </is>
      </c>
      <c r="E5" t="inlineStr">
        <is>
          <t>Đã thanh toán</t>
        </is>
      </c>
      <c r="F5" t="inlineStr">
        <is>
          <t>S004</t>
        </is>
      </c>
      <c r="G5">
        <f>VLOOKUP(D5,PACKAGES!A:B,2,FALSE)</f>
        <v/>
      </c>
      <c r="H5" s="2">
        <f>VLOOKUP(D5,PACKAGES!A:C,3,FALSE)</f>
        <v/>
      </c>
      <c r="I5" t="inlineStr">
        <is>
          <t>Yes</t>
        </is>
      </c>
    </row>
    <row r="6">
      <c r="A6" s="3" t="n">
        <v>46222.41666666666</v>
      </c>
      <c r="B6" t="inlineStr">
        <is>
          <t>linh@example.com</t>
        </is>
      </c>
      <c r="C6" t="inlineStr">
        <is>
          <t>Võ Thuỳ Linh</t>
        </is>
      </c>
      <c r="D6" t="inlineStr">
        <is>
          <t>Gói 12 buổi</t>
        </is>
      </c>
      <c r="E6" t="inlineStr">
        <is>
          <t>Đã thanh toán</t>
        </is>
      </c>
      <c r="F6" t="inlineStr">
        <is>
          <t>S005</t>
        </is>
      </c>
      <c r="G6">
        <f>VLOOKUP(D6,PACKAGES!A:B,2,FALSE)</f>
        <v/>
      </c>
      <c r="H6" s="2">
        <f>VLOOKUP(D6,PACKAGES!A:C,3,FALSE)</f>
        <v/>
      </c>
      <c r="I6" t="inlineStr">
        <is>
          <t>Yes</t>
        </is>
      </c>
    </row>
    <row r="7">
      <c r="A7" s="3" t="n">
        <v>46223.41666666666</v>
      </c>
      <c r="B7" t="inlineStr">
        <is>
          <t>nam@example.com</t>
        </is>
      </c>
      <c r="C7" t="inlineStr">
        <is>
          <t>Đặng Hoàng Nam</t>
        </is>
      </c>
      <c r="D7" t="inlineStr">
        <is>
          <t>Gói 24 buổi</t>
        </is>
      </c>
      <c r="E7" t="inlineStr">
        <is>
          <t>Chưa thanh toán</t>
        </is>
      </c>
      <c r="F7" t="inlineStr">
        <is>
          <t>S006</t>
        </is>
      </c>
      <c r="G7">
        <f>VLOOKUP(D7,PACKAGES!A:B,2,FALSE)</f>
        <v/>
      </c>
      <c r="H7" s="2">
        <f>VLOOKUP(D7,PACKAGES!A:C,3,FALSE)</f>
        <v/>
      </c>
      <c r="I7" t="inlineStr"/>
    </row>
    <row r="8">
      <c r="A8" s="3" t="n">
        <v>46224.41666666666</v>
      </c>
      <c r="B8" t="inlineStr">
        <is>
          <t>tam@example.com</t>
        </is>
      </c>
      <c r="C8" t="inlineStr">
        <is>
          <t>Bùi Thanh Tâm</t>
        </is>
      </c>
      <c r="D8" t="inlineStr">
        <is>
          <t>Gói 12 buổi</t>
        </is>
      </c>
      <c r="E8" t="inlineStr">
        <is>
          <t>Đã thanh toán</t>
        </is>
      </c>
      <c r="F8" t="inlineStr">
        <is>
          <t>S007</t>
        </is>
      </c>
      <c r="G8">
        <f>VLOOKUP(D8,PACKAGES!A:B,2,FALSE)</f>
        <v/>
      </c>
      <c r="H8" s="2">
        <f>VLOOKUP(D8,PACKAGES!A:C,3,FALSE)</f>
        <v/>
      </c>
      <c r="I8" t="inlineStr">
        <is>
          <t>Yes</t>
        </is>
      </c>
    </row>
    <row r="9">
      <c r="A9" s="3" t="n">
        <v>46225.41666666666</v>
      </c>
      <c r="B9" t="inlineStr">
        <is>
          <t>ngan@example.com</t>
        </is>
      </c>
      <c r="C9" t="inlineStr">
        <is>
          <t>Lý Kim Ngân</t>
        </is>
      </c>
      <c r="D9" t="inlineStr">
        <is>
          <t>Gói 48 buổi</t>
        </is>
      </c>
      <c r="E9" t="inlineStr">
        <is>
          <t>Chưa thanh toán</t>
        </is>
      </c>
      <c r="F9" t="inlineStr">
        <is>
          <t>S008</t>
        </is>
      </c>
      <c r="G9">
        <f>VLOOKUP(D9,PACKAGES!A:B,2,FALSE)</f>
        <v/>
      </c>
      <c r="H9" s="2">
        <f>VLOOKUP(D9,PACKAGES!A:C,3,FALSE)</f>
        <v/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2026-09-18T19:26:12Z</dcterms:created>
  <dcterms:modified xmlns:dcterms="http://purl.org/dc/terms/" xmlns:xsi="http://www.w3.org/2001/XMLSchema-instance" xsi:type="dcterms:W3CDTF">2026-09-18T19:26:12Z</dcterms:modified>
</cp:coreProperties>
</file>