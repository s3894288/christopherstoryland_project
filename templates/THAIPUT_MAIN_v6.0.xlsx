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UDENT_INFO" sheetId="2" state="visible" r:id="rId2"/>
    <sheet xmlns:r="http://schemas.openxmlformats.org/officeDocument/2006/relationships" name="CHECK_SLOT" sheetId="3" state="visible" r:id="rId3"/>
    <sheet xmlns:r="http://schemas.openxmlformats.org/officeDocument/2006/relationships" name="BOOKINGS" sheetId="4" state="visible" r:id="rId4"/>
    <sheet xmlns:r="http://schemas.openxmlformats.org/officeDocument/2006/relationships" name="ĐĂNG KÝ MỚI" sheetId="5" state="visible" r:id="rId5"/>
    <sheet xmlns:r="http://schemas.openxmlformats.org/officeDocument/2006/relationships" name="PAYROLL_REPORT" sheetId="6" state="visible" r:id="rId6"/>
    <sheet xmlns:r="http://schemas.openxmlformats.org/officeDocument/2006/relationships" name="HUONG_D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b val="1"/>
      <sz val="18"/>
    </font>
    <font>
      <color rgb="00666666"/>
      <sz val="12"/>
    </font>
    <font/>
    <font>
      <b val="1"/>
    </font>
    <font>
      <b val="1"/>
      <sz val="11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thaiput — Booking System v6.0 FINAL</t>
        </is>
      </c>
    </row>
    <row r="2">
      <c r="A2" s="2" t="inlineStr">
        <is>
          <t>Kiến trúc 3 spreadsheet: Main + Registration + Tutor</t>
        </is>
      </c>
    </row>
    <row r="4">
      <c r="A4" s="3" t="inlineStr"/>
      <c r="B4" t="inlineStr"/>
    </row>
    <row r="5">
      <c r="A5" s="4" t="inlineStr">
        <is>
          <t>CẤU HÌNH</t>
        </is>
      </c>
      <c r="B5" t="inlineStr"/>
    </row>
    <row r="6">
      <c r="A6" s="4" t="inlineStr">
        <is>
          <t>Admin email</t>
        </is>
      </c>
      <c r="B6" t="inlineStr">
        <is>
          <t>(điền vào Config.gs)</t>
        </is>
      </c>
    </row>
    <row r="7">
      <c r="A7" s="4" t="inlineStr">
        <is>
          <t>Registration Spreadsheet ID</t>
        </is>
      </c>
      <c r="B7" t="inlineStr">
        <is>
          <t>(điền sau khi upload lên Google Sheets)</t>
        </is>
      </c>
    </row>
    <row r="8">
      <c r="A8" s="4" t="inlineStr">
        <is>
          <t>Tutor Spreadsheet ID</t>
        </is>
      </c>
      <c r="B8" t="inlineStr">
        <is>
          <t>(điền sau khi upload lên Google Sheets)</t>
        </is>
      </c>
    </row>
    <row r="9">
      <c r="A9" s="3" t="inlineStr"/>
      <c r="B9" t="inlineStr"/>
    </row>
    <row r="10">
      <c r="A10" s="4" t="inlineStr">
        <is>
          <t>LIÊN KẾT</t>
        </is>
      </c>
      <c r="B10" t="inlineStr"/>
    </row>
    <row r="11">
      <c r="A11" s="4" t="inlineStr">
        <is>
          <t>Form đặt lịch</t>
        </is>
      </c>
      <c r="B11" t="inlineStr">
        <is>
          <t>(tạo bởi setupAllForms)</t>
        </is>
      </c>
    </row>
    <row r="12">
      <c r="A12" s="4" t="inlineStr">
        <is>
          <t>Form đăng ký</t>
        </is>
      </c>
      <c r="B12" t="inlineStr">
        <is>
          <t>(tạo bởi setupAllForms)</t>
        </is>
      </c>
    </row>
    <row r="13">
      <c r="A13" s="4" t="inlineStr">
        <is>
          <t>Booking Form ID</t>
        </is>
      </c>
      <c r="B13" t="inlineStr"/>
    </row>
    <row r="14">
      <c r="A14" s="4" t="inlineStr">
        <is>
          <t>Registration Form ID</t>
        </is>
      </c>
      <c r="B14" t="inlineStr"/>
    </row>
    <row r="15">
      <c r="A15" s="3" t="inlineStr"/>
      <c r="B15" t="inlineStr"/>
    </row>
    <row r="16">
      <c r="A16" s="4" t="inlineStr">
        <is>
          <t>VẬN HÀNH (script tự cập nhật mỗi 10 phút)</t>
        </is>
      </c>
      <c r="B16" t="inlineStr"/>
    </row>
    <row r="17">
      <c r="A17" s="4" t="inlineStr">
        <is>
          <t>Tuần active</t>
        </is>
      </c>
      <c r="B17" t="inlineStr">
        <is>
          <t>(chưa chạy)</t>
        </is>
      </c>
    </row>
    <row r="18">
      <c r="A18" s="4" t="inlineStr">
        <is>
          <t>Bookings tuần này</t>
        </is>
      </c>
      <c r="B18" t="inlineStr">
        <is>
          <t>(chưa chạy)</t>
        </is>
      </c>
    </row>
    <row r="19">
      <c r="A19" s="4" t="inlineStr">
        <is>
          <t>Tutor Active</t>
        </is>
      </c>
      <c r="B19" t="inlineStr">
        <is>
          <t>(chưa chạy)</t>
        </is>
      </c>
    </row>
    <row r="20">
      <c r="A20" s="4" t="inlineStr">
        <is>
          <t>Lần đồng bộ cuối</t>
        </is>
      </c>
      <c r="B20" t="inlineStr">
        <is>
          <t>(chưa chạy)</t>
        </is>
      </c>
    </row>
    <row r="21">
      <c r="A21" s="4" t="inlineStr">
        <is>
          <t>Giả lập thời gian</t>
        </is>
      </c>
      <c r="B21" t="inlineStr"/>
    </row>
    <row r="22">
      <c r="A22" s="4" t="inlineStr">
        <is>
          <t>HV Active</t>
        </is>
      </c>
      <c r="B22">
        <f>COUNTIF(STUDENT_INFO!I:I,"Active")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StudentID</t>
        </is>
      </c>
      <c r="B1" s="5" t="inlineStr">
        <is>
          <t>Email</t>
        </is>
      </c>
      <c r="C1" s="5" t="inlineStr">
        <is>
          <t>Họ và tên</t>
        </is>
      </c>
      <c r="D1" s="5" t="inlineStr">
        <is>
          <t>Gói đăng ký</t>
        </is>
      </c>
      <c r="E1" s="5" t="inlineStr">
        <is>
          <t>TotalSessions</t>
        </is>
      </c>
      <c r="F1" s="5" t="inlineStr">
        <is>
          <t>SessionsUsed</t>
        </is>
      </c>
      <c r="G1" s="5" t="inlineStr">
        <is>
          <t>SessionsRemaining</t>
        </is>
      </c>
      <c r="H1" s="5" t="inlineStr">
        <is>
          <t>Ngày kích hoạt</t>
        </is>
      </c>
      <c r="I1" s="5" t="inlineStr">
        <is>
          <t>Trạng thái</t>
        </is>
      </c>
      <c r="J1" s="5" t="inlineStr">
        <is>
          <t>Ghi chú</t>
        </is>
      </c>
    </row>
    <row r="2">
      <c r="A2" t="inlineStr">
        <is>
          <t>S001</t>
        </is>
      </c>
      <c r="B2" t="inlineStr">
        <is>
          <t>hoa@example.com</t>
        </is>
      </c>
      <c r="C2" t="inlineStr">
        <is>
          <t>Lê Thị Hoa</t>
        </is>
      </c>
      <c r="D2" t="inlineStr">
        <is>
          <t>Gói 12 buổi</t>
        </is>
      </c>
      <c r="E2" t="n">
        <v>12</v>
      </c>
      <c r="F2">
        <f>COUNTIFS(BOOKINGS!$D$2:$D$2000,$B2,BOOKINGS!$J$2:$J$2000,"Active")+COUNTIFS(BOOKINGS!$D$2:$D$2000,$B2,BOOKINGS!$J$2:$J$2000,"Completed")+COUNTIFS(BOOKINGS!$D$2:$D$2000,$B2,BOOKINGS!$J$2:$J$2000,"NoShow")</f>
        <v/>
      </c>
      <c r="G2">
        <f>MAX(0,E2-F2)</f>
        <v/>
      </c>
      <c r="H2" s="6" t="n">
        <v>46223</v>
      </c>
      <c r="I2" t="inlineStr">
        <is>
          <t>Active</t>
        </is>
      </c>
      <c r="J2" t="inlineStr">
        <is>
          <t>Kích hoạt 20/07/2026</t>
        </is>
      </c>
    </row>
    <row r="3">
      <c r="A3" t="inlineStr">
        <is>
          <t>S002</t>
        </is>
      </c>
      <c r="B3" t="inlineStr">
        <is>
          <t>dung@example.com</t>
        </is>
      </c>
      <c r="C3" t="inlineStr">
        <is>
          <t>Nguyễn Văn Dũng</t>
        </is>
      </c>
      <c r="D3" t="inlineStr">
        <is>
          <t>Gói 24 buổi</t>
        </is>
      </c>
      <c r="E3" t="n">
        <v>24</v>
      </c>
      <c r="F3">
        <f>COUNTIFS(BOOKINGS!$D$2:$D$2000,$B3,BOOKINGS!$J$2:$J$2000,"Active")+COUNTIFS(BOOKINGS!$D$2:$D$2000,$B3,BOOKINGS!$J$2:$J$2000,"Completed")+COUNTIFS(BOOKINGS!$D$2:$D$2000,$B3,BOOKINGS!$J$2:$J$2000,"NoShow")</f>
        <v/>
      </c>
      <c r="G3">
        <f>MAX(0,E3-F3)</f>
        <v/>
      </c>
      <c r="H3" s="6" t="n">
        <v>46223</v>
      </c>
      <c r="I3" t="inlineStr">
        <is>
          <t>Active</t>
        </is>
      </c>
      <c r="J3" t="inlineStr">
        <is>
          <t>Kích hoạt 20/07/2026</t>
        </is>
      </c>
    </row>
    <row r="4">
      <c r="A4" t="inlineStr">
        <is>
          <t>S003</t>
        </is>
      </c>
      <c r="B4" t="inlineStr">
        <is>
          <t>minhanh@example.com</t>
        </is>
      </c>
      <c r="C4" t="inlineStr">
        <is>
          <t>Trần Minh Anh</t>
        </is>
      </c>
      <c r="D4" t="inlineStr">
        <is>
          <t>Gói 12 buổi</t>
        </is>
      </c>
      <c r="E4" t="n">
        <v>12</v>
      </c>
      <c r="F4">
        <f>COUNTIFS(BOOKINGS!$D$2:$D$2000,$B4,BOOKINGS!$J$2:$J$2000,"Active")+COUNTIFS(BOOKINGS!$D$2:$D$2000,$B4,BOOKINGS!$J$2:$J$2000,"Completed")+COUNTIFS(BOOKINGS!$D$2:$D$2000,$B4,BOOKINGS!$J$2:$J$2000,"NoShow")</f>
        <v/>
      </c>
      <c r="G4">
        <f>MAX(0,E4-F4)</f>
        <v/>
      </c>
      <c r="H4" s="6" t="n">
        <v>46223</v>
      </c>
      <c r="I4" t="inlineStr">
        <is>
          <t>Active</t>
        </is>
      </c>
      <c r="J4" t="inlineStr">
        <is>
          <t>Kích hoạt 20/07/2026</t>
        </is>
      </c>
    </row>
    <row r="5">
      <c r="A5" t="inlineStr">
        <is>
          <t>S004</t>
        </is>
      </c>
      <c r="B5" t="inlineStr">
        <is>
          <t>bao@example.com</t>
        </is>
      </c>
      <c r="C5" t="inlineStr">
        <is>
          <t>Phạm Quốc Bảo</t>
        </is>
      </c>
      <c r="D5" t="inlineStr">
        <is>
          <t>Gói 48 buổi</t>
        </is>
      </c>
      <c r="E5" t="n">
        <v>48</v>
      </c>
      <c r="F5">
        <f>COUNTIFS(BOOKINGS!$D$2:$D$2000,$B5,BOOKINGS!$J$2:$J$2000,"Active")+COUNTIFS(BOOKINGS!$D$2:$D$2000,$B5,BOOKINGS!$J$2:$J$2000,"Completed")+COUNTIFS(BOOKINGS!$D$2:$D$2000,$B5,BOOKINGS!$J$2:$J$2000,"NoShow")</f>
        <v/>
      </c>
      <c r="G5">
        <f>MAX(0,E5-F5)</f>
        <v/>
      </c>
      <c r="H5" s="6" t="n">
        <v>46223</v>
      </c>
      <c r="I5" t="inlineStr">
        <is>
          <t>Active</t>
        </is>
      </c>
      <c r="J5" t="inlineStr">
        <is>
          <t>Kích hoạt 20/07/2026</t>
        </is>
      </c>
    </row>
    <row r="6">
      <c r="A6" t="inlineStr">
        <is>
          <t>S005</t>
        </is>
      </c>
      <c r="B6" t="inlineStr">
        <is>
          <t>linh@example.com</t>
        </is>
      </c>
      <c r="C6" t="inlineStr">
        <is>
          <t>Võ Thuỳ Linh</t>
        </is>
      </c>
      <c r="D6" t="inlineStr">
        <is>
          <t>Gói 12 buổi</t>
        </is>
      </c>
      <c r="E6" t="n">
        <v>12</v>
      </c>
      <c r="F6">
        <f>COUNTIFS(BOOKINGS!$D$2:$D$2000,$B6,BOOKINGS!$J$2:$J$2000,"Active")+COUNTIFS(BOOKINGS!$D$2:$D$2000,$B6,BOOKINGS!$J$2:$J$2000,"Completed")+COUNTIFS(BOOKINGS!$D$2:$D$2000,$B6,BOOKINGS!$J$2:$J$2000,"NoShow")</f>
        <v/>
      </c>
      <c r="G6">
        <f>MAX(0,E6-F6)</f>
        <v/>
      </c>
      <c r="H6" s="6" t="n">
        <v>46223</v>
      </c>
      <c r="I6" t="inlineStr">
        <is>
          <t>Active</t>
        </is>
      </c>
      <c r="J6" t="inlineStr">
        <is>
          <t>Kích hoạt 20/07/2026</t>
        </is>
      </c>
    </row>
    <row r="7">
      <c r="A7" t="inlineStr">
        <is>
          <t>S006</t>
        </is>
      </c>
      <c r="B7" t="inlineStr">
        <is>
          <t>tam@example.com</t>
        </is>
      </c>
      <c r="C7" t="inlineStr">
        <is>
          <t>Bùi Thanh Tâm</t>
        </is>
      </c>
      <c r="D7" t="inlineStr">
        <is>
          <t>Gói 12 buổi</t>
        </is>
      </c>
      <c r="E7" t="n">
        <v>12</v>
      </c>
      <c r="F7">
        <f>COUNTIFS(BOOKINGS!$D$2:$D$2000,$B7,BOOKINGS!$J$2:$J$2000,"Active")+COUNTIFS(BOOKINGS!$D$2:$D$2000,$B7,BOOKINGS!$J$2:$J$2000,"Completed")+COUNTIFS(BOOKINGS!$D$2:$D$2000,$B7,BOOKINGS!$J$2:$J$2000,"NoShow")</f>
        <v/>
      </c>
      <c r="G7">
        <f>MAX(0,E7-F7)</f>
        <v/>
      </c>
      <c r="H7" s="6" t="n">
        <v>46223</v>
      </c>
      <c r="I7" t="inlineStr">
        <is>
          <t>Active</t>
        </is>
      </c>
      <c r="J7" t="inlineStr">
        <is>
          <t>Kích hoạt 20/07/2026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5" t="inlineStr">
        <is>
          <t>Ngày</t>
        </is>
      </c>
      <c r="B1" s="5" t="inlineStr">
        <is>
          <t>Thứ</t>
        </is>
      </c>
      <c r="C1" s="5" t="inlineStr">
        <is>
          <t>17:00 - 17:25</t>
        </is>
      </c>
      <c r="D1" s="5" t="inlineStr">
        <is>
          <t>17:30 - 17:55</t>
        </is>
      </c>
      <c r="E1" s="5" t="inlineStr">
        <is>
          <t>18:00 - 18:25</t>
        </is>
      </c>
      <c r="F1" s="5" t="inlineStr">
        <is>
          <t>18:30 - 18:55</t>
        </is>
      </c>
      <c r="G1" s="5" t="inlineStr">
        <is>
          <t>19:00 - 19:25</t>
        </is>
      </c>
      <c r="H1" s="5" t="inlineStr">
        <is>
          <t>19:30 - 19:55</t>
        </is>
      </c>
      <c r="I1" s="5" t="inlineStr">
        <is>
          <t>20:00 - 20:25</t>
        </is>
      </c>
      <c r="J1" s="5" t="inlineStr">
        <is>
          <t>20:30 - 20:55</t>
        </is>
      </c>
      <c r="K1" s="5" t="inlineStr">
        <is>
          <t>21:00 - 21:25</t>
        </is>
      </c>
      <c r="L1" s="5" t="inlineStr">
        <is>
          <t>21:30 - 21:55</t>
        </is>
      </c>
      <c r="M1" s="5" t="inlineStr">
        <is>
          <t>22:00 - 22:25</t>
        </is>
      </c>
      <c r="N1" s="5" t="inlineStr">
        <is>
          <t>22:30 - 22:55</t>
        </is>
      </c>
      <c r="O1" s="5" t="inlineStr">
        <is>
          <t>23:00 - 23:25</t>
        </is>
      </c>
      <c r="P1" s="5" t="inlineStr">
        <is>
          <t>23:30 - 23:55</t>
        </is>
      </c>
    </row>
    <row r="2">
      <c r="A2" s="6" t="n">
        <v>46235</v>
      </c>
      <c r="B2" t="inlineStr">
        <is>
          <t>Thứ 7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6" t="n">
        <v>46236</v>
      </c>
      <c r="B3" t="inlineStr">
        <is>
          <t>Chủ nhật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6" t="n">
        <v>46237</v>
      </c>
      <c r="B4" t="inlineStr">
        <is>
          <t>Thứ 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6" t="n">
        <v>46238</v>
      </c>
      <c r="B5" t="inlineStr">
        <is>
          <t>Thứ 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6" t="n">
        <v>46239</v>
      </c>
      <c r="B6" t="inlineStr">
        <is>
          <t>Thứ 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6" t="n">
        <v>46240</v>
      </c>
      <c r="B7" t="inlineStr">
        <is>
          <t>Thứ 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6" t="n">
        <v>46241</v>
      </c>
      <c r="B8" t="inlineStr">
        <is>
          <t>Thứ 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6" t="n">
        <v>46242</v>
      </c>
      <c r="B9" t="inlineStr">
        <is>
          <t>Thứ 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6" t="n">
        <v>46243</v>
      </c>
      <c r="B10" t="inlineStr">
        <is>
          <t>Chủ nhật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6" t="n">
        <v>46244</v>
      </c>
      <c r="B11" t="inlineStr">
        <is>
          <t>Thứ 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6" t="n">
        <v>46245</v>
      </c>
      <c r="B12" t="inlineStr">
        <is>
          <t>Thứ 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6" t="n">
        <v>46246</v>
      </c>
      <c r="B13" t="inlineStr">
        <is>
          <t>Thứ 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6" t="n">
        <v>46247</v>
      </c>
      <c r="B14" t="inlineStr">
        <is>
          <t>Thứ 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6" t="n">
        <v>46248</v>
      </c>
      <c r="B15" t="inlineStr">
        <is>
          <t>Thứ 6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6" t="n">
        <v>46249</v>
      </c>
      <c r="B16" t="inlineStr">
        <is>
          <t>Thứ 7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6" t="n">
        <v>46250</v>
      </c>
      <c r="B17" t="inlineStr">
        <is>
          <t>Chủ nhật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6" t="n">
        <v>46251</v>
      </c>
      <c r="B18" t="inlineStr">
        <is>
          <t>Thứ 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6" t="n">
        <v>46252</v>
      </c>
      <c r="B19" t="inlineStr">
        <is>
          <t>Thứ 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6" t="n">
        <v>46253</v>
      </c>
      <c r="B20" t="inlineStr">
        <is>
          <t>Thứ 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6" t="n">
        <v>46254</v>
      </c>
      <c r="B21" t="inlineStr">
        <is>
          <t>Thứ 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6" t="n">
        <v>46255</v>
      </c>
      <c r="B22" t="inlineStr">
        <is>
          <t>Thứ 6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6" t="n">
        <v>46256</v>
      </c>
      <c r="B23" t="inlineStr">
        <is>
          <t>Thứ 7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6" t="n">
        <v>46257</v>
      </c>
      <c r="B24" t="inlineStr">
        <is>
          <t>Chủ nhật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6" t="n">
        <v>46258</v>
      </c>
      <c r="B25" t="inlineStr">
        <is>
          <t>Thứ 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6" t="n">
        <v>46259</v>
      </c>
      <c r="B26" t="inlineStr">
        <is>
          <t>Thứ 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6" t="n">
        <v>46260</v>
      </c>
      <c r="B27" t="inlineStr">
        <is>
          <t>Thứ 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6" t="n">
        <v>46261</v>
      </c>
      <c r="B28" t="inlineStr">
        <is>
          <t>Thứ 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6" t="n">
        <v>46262</v>
      </c>
      <c r="B29" t="inlineStr">
        <is>
          <t>Thứ 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6" t="n">
        <v>46263</v>
      </c>
      <c r="B30" t="inlineStr">
        <is>
          <t>Thứ 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6" t="n">
        <v>46264</v>
      </c>
      <c r="B31" t="inlineStr">
        <is>
          <t>Chủ nhật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6" t="n">
        <v>46265</v>
      </c>
      <c r="B32" t="inlineStr">
        <is>
          <t>Thứ 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6" t="n">
        <v>46266</v>
      </c>
      <c r="B33" t="inlineStr">
        <is>
          <t>Thứ 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6" t="n">
        <v>46267</v>
      </c>
      <c r="B34" t="inlineStr">
        <is>
          <t>Thứ 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6" t="n">
        <v>46268</v>
      </c>
      <c r="B35" t="inlineStr">
        <is>
          <t>Thứ 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6" t="n">
        <v>46269</v>
      </c>
      <c r="B36" t="inlineStr">
        <is>
          <t>Thứ 6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6" t="n">
        <v>46270</v>
      </c>
      <c r="B37" t="inlineStr">
        <is>
          <t>Thứ 7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6" t="n">
        <v>46271</v>
      </c>
      <c r="B38" t="inlineStr">
        <is>
          <t>Chủ nhật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6" t="n">
        <v>46272</v>
      </c>
      <c r="B39" t="inlineStr">
        <is>
          <t>Thứ 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" t="inlineStr">
        <is>
          <t>BookingID</t>
        </is>
      </c>
      <c r="B1" s="5" t="inlineStr">
        <is>
          <t>StudentID</t>
        </is>
      </c>
      <c r="C1" s="5" t="inlineStr">
        <is>
          <t>StudentName</t>
        </is>
      </c>
      <c r="D1" s="5" t="inlineStr">
        <is>
          <t>StudentEmail</t>
        </is>
      </c>
      <c r="E1" s="5" t="inlineStr">
        <is>
          <t>TutorID</t>
        </is>
      </c>
      <c r="F1" s="5" t="inlineStr">
        <is>
          <t>TutorName</t>
        </is>
      </c>
      <c r="G1" s="5" t="inlineStr">
        <is>
          <t>Date</t>
        </is>
      </c>
      <c r="H1" s="5" t="inlineStr">
        <is>
          <t>TimeSlot</t>
        </is>
      </c>
      <c r="I1" s="5" t="inlineStr">
        <is>
          <t>MeetLink</t>
        </is>
      </c>
      <c r="J1" s="5" t="inlineStr">
        <is>
          <t>Status</t>
        </is>
      </c>
      <c r="K1" s="5" t="inlineStr">
        <is>
          <t>CreatedAt</t>
        </is>
      </c>
      <c r="L1" s="5" t="inlineStr">
        <is>
          <t>FailReason</t>
        </is>
      </c>
      <c r="M1" s="5" t="inlineStr">
        <is>
          <t>AttendanceMarkedAt</t>
        </is>
      </c>
      <c r="N1" s="5" t="inlineStr">
        <is>
          <t>EventID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5" t="inlineStr">
        <is>
          <t>Timestamp</t>
        </is>
      </c>
      <c r="B1" s="5" t="inlineStr">
        <is>
          <t>Email</t>
        </is>
      </c>
      <c r="C1" s="5" t="inlineStr">
        <is>
          <t>Họ và tên</t>
        </is>
      </c>
      <c r="D1" s="5" t="inlineStr">
        <is>
          <t>Student ID</t>
        </is>
      </c>
      <c r="E1" s="5" t="inlineStr">
        <is>
          <t>Thứ 2</t>
        </is>
      </c>
      <c r="F1" s="5" t="inlineStr">
        <is>
          <t>Thứ 3</t>
        </is>
      </c>
      <c r="G1" s="5" t="inlineStr">
        <is>
          <t>Thứ 4</t>
        </is>
      </c>
      <c r="H1" s="5" t="inlineStr">
        <is>
          <t>Thứ 5</t>
        </is>
      </c>
      <c r="I1" s="5" t="inlineStr">
        <is>
          <t>Thứ 6</t>
        </is>
      </c>
      <c r="J1" s="5" t="inlineStr">
        <is>
          <t>Thứ 7</t>
        </is>
      </c>
      <c r="K1" s="5" t="inlineStr">
        <is>
          <t>Chủ nhật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BÁO CÁO LƯƠNG TUTOR</t>
        </is>
      </c>
    </row>
    <row r="2">
      <c r="A2" s="8" t="inlineStr">
        <is>
          <t>Từ ngày:</t>
        </is>
      </c>
      <c r="B2" s="6" t="n">
        <v>46235</v>
      </c>
      <c r="C2" s="8" t="inlineStr">
        <is>
          <t>Đến ngày:</t>
        </is>
      </c>
      <c r="D2" s="6" t="n">
        <v>46265</v>
      </c>
    </row>
    <row r="4">
      <c r="A4" s="5" t="inlineStr">
        <is>
          <t>Tutor</t>
        </is>
      </c>
      <c r="B4" s="5" t="inlineStr">
        <is>
          <t>Completed</t>
        </is>
      </c>
      <c r="C4" s="5" t="inlineStr">
        <is>
          <t>NoShow</t>
        </is>
      </c>
      <c r="D4" s="5" t="inlineStr">
        <is>
          <t>Active</t>
        </is>
      </c>
      <c r="E4" s="5" t="inlineStr">
        <is>
          <t>Tổng billable</t>
        </is>
      </c>
      <c r="F4" s="5" t="inlineStr">
        <is>
          <t>Đơn giá</t>
        </is>
      </c>
      <c r="G4" s="5" t="inlineStr">
        <is>
          <t>Thành tiền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HƯỚNG DẪN SỬ DỤNG — thaiput v6.0 FINAL</t>
        </is>
      </c>
    </row>
    <row r="2">
      <c r="A2" s="9" t="inlineStr"/>
    </row>
    <row r="3">
      <c r="A3" s="9" t="inlineStr">
        <is>
          <t>KIẾN TRÚC 3 SPREADSHEET:</t>
        </is>
      </c>
    </row>
    <row r="4">
      <c r="A4" s="9" t="inlineStr">
        <is>
          <t xml:space="preserve">  1. THAIPUT_MAIN: sheet chính, chứa Apps Script — STUDENT_INFO, CHECK_SLOT, BOOKINGS (14 cột), PAYROLL</t>
        </is>
      </c>
    </row>
    <row r="5">
      <c r="A5" s="9" t="inlineStr">
        <is>
          <t xml:space="preserve">  2. THAIPUT_REGISTRATION: form đăng ký ghi vào đây — PACKAGES + STUDENT_REGISTRATION</t>
        </is>
      </c>
    </row>
    <row r="6">
      <c r="A6" s="9" t="inlineStr">
        <is>
          <t xml:space="preserve">  3. THAIPUT_TUTOR: tutor tự đánh "x" — TUTOR_INFO + 4 tab tutor + archive hàng tháng</t>
        </is>
      </c>
    </row>
    <row r="7">
      <c r="A7" s="9" t="inlineStr"/>
    </row>
    <row r="8">
      <c r="A8" s="9" t="inlineStr">
        <is>
          <t>TRIỂN KHAI (làm theo thứ tự):</t>
        </is>
      </c>
    </row>
    <row r="9">
      <c r="A9" s="9" t="inlineStr">
        <is>
          <t xml:space="preserve">  1. Upload 3 file XLSX lên Drive → mở bằng Google Sheets</t>
        </is>
      </c>
    </row>
    <row r="10">
      <c r="A10" s="9" t="inlineStr">
        <is>
          <t xml:space="preserve">  2. Copy Spreadsheet ID của REGISTRATION và TUTOR (đoạn giữa /d/ và /edit trên URL)</t>
        </is>
      </c>
    </row>
    <row r="11">
      <c r="A11" s="9" t="inlineStr">
        <is>
          <t xml:space="preserve">  3. Trong MAIN: Extensions → Apps Script → dán 12 file .gs</t>
        </is>
      </c>
    </row>
    <row r="12">
      <c r="A12" s="9" t="inlineStr">
        <is>
          <t xml:space="preserve">  4. Project Settings → Time zone = (GMT+07:00) Ho Chi Minh; bật "Show appsscript.json" → dán appsscript.json</t>
        </is>
      </c>
    </row>
    <row r="13">
      <c r="A13" s="9" t="inlineStr">
        <is>
          <t xml:space="preserve">  5. Services (+) → Google Calendar API → Add</t>
        </is>
      </c>
    </row>
    <row r="14">
      <c r="A14" s="9" t="inlineStr">
        <is>
          <t xml:space="preserve">  6. Config.gs: điền ADMIN_EMAIL, TUTOR_SS_ID, REGISTRATION_SS_ID</t>
        </is>
      </c>
    </row>
    <row r="15">
      <c r="A15" s="9" t="inlineStr">
        <is>
          <t xml:space="preserve">  7. Reload sheet → menu thaiput → 1. Kiểm tra hệ thống (phải 0 lỗi)</t>
        </is>
      </c>
    </row>
    <row r="16">
      <c r="A16" s="9" t="inlineStr">
        <is>
          <t xml:space="preserve">  8. Menu → 2. Tạo 2 Form mới + kết nối</t>
        </is>
      </c>
    </row>
    <row r="17">
      <c r="A17" s="9" t="inlineStr">
        <is>
          <t xml:space="preserve">  9. Menu → 3. Tạo/cập nhật 8 trigger</t>
        </is>
      </c>
    </row>
    <row r="18">
      <c r="A18" s="9" t="inlineStr">
        <is>
          <t xml:space="preserve">  10. Menu → Form → Kiểm tra kết nối Form (phải 0 vấn đề)</t>
        </is>
      </c>
    </row>
    <row r="19">
      <c r="A19" s="9" t="inlineStr"/>
    </row>
    <row r="20">
      <c r="A20" s="9" t="inlineStr">
        <is>
          <t>LUỒNG DỮ LIỆU:</t>
        </is>
      </c>
    </row>
    <row r="21">
      <c r="A21" s="9" t="inlineStr">
        <is>
          <t xml:space="preserve">  HV đăng ký (Form) → STUDENT_REGISTRATION (Registration) → admin đánh "Đã thanh toán" cột E</t>
        </is>
      </c>
    </row>
    <row r="22">
      <c r="A22" s="9" t="inlineStr">
        <is>
          <t xml:space="preserve">  → menu Học viên → Kích hoạt → STUDENT_INFO (Main) + email welcome</t>
        </is>
      </c>
    </row>
    <row r="23">
      <c r="A23" s="9" t="inlineStr">
        <is>
          <t xml:space="preserve">  Tutor đánh "x" (Tutor) → script đồng bộ CHECK_SLOT (Main) mỗi 10 phút + sau mỗi booking/huỷ</t>
        </is>
      </c>
    </row>
    <row r="24">
      <c r="A24" s="9" t="inlineStr">
        <is>
          <t xml:space="preserve">  HV đặt lịch (Form) → BOOKINGS (Main) + Calendar/Meet + email</t>
        </is>
      </c>
    </row>
    <row r="25">
      <c r="A25" s="9" t="inlineStr">
        <is>
          <t xml:space="preserve">  Huỷ: đổi cột J thành Cancelled → tự hoàn buổi, xoá lịch Calendar, email</t>
        </is>
      </c>
    </row>
    <row r="26">
      <c r="A26" s="9" t="inlineStr"/>
    </row>
    <row r="27">
      <c r="A27" s="9" t="inlineStr">
        <is>
          <t>TEST:</t>
        </is>
      </c>
    </row>
    <row r="28">
      <c r="A28" s="9" t="inlineStr">
        <is>
          <t xml:space="preserve">  Menu → Test → Chạy tất cả (T0 → T11), xem log Extensions → Apps Script → Executions</t>
        </is>
      </c>
    </row>
    <row r="29">
      <c r="A29" s="9" t="inlineStr">
        <is>
          <t xml:space="preserve">  Xong: menu → Test → Dọn dữ liệu test</t>
        </is>
      </c>
    </row>
    <row r="30">
      <c r="A30" s="9" t="inlineStr">
        <is>
          <t xml:space="preserve">  Dữ liệu tháng 8/2026 nạp sẵn trong tutor tabs để test archive (T10)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2026-09-18T19:26:12Z</dcterms:created>
  <dcterms:modified xmlns:dcterms="http://purl.org/dc/terms/" xmlns:xsi="http://www.w3.org/2001/XMLSchema-instance" xsi:type="dcterms:W3CDTF">2026-09-18T19:26:12Z</dcterms:modified>
</cp:coreProperties>
</file>